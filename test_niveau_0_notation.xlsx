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Niveau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10"/>
    </font>
    <font>
      <name val="Calibri"/>
      <i val="1"/>
      <sz val="10"/>
    </font>
    <font>
      <name val="Calibri"/>
      <b val="1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67C7E"/>
      </patternFill>
    </fill>
    <fill>
      <patternFill patternType="solid">
        <fgColor rgb="00F0F5F5"/>
      </patternFill>
    </fill>
    <fill>
      <patternFill patternType="solid">
        <fgColor rgb="00EEF5F5"/>
      </patternFill>
    </fill>
    <fill>
      <patternFill patternType="solid">
        <fgColor rgb="00EAF2F0"/>
      </patternFill>
    </fill>
    <fill>
      <patternFill patternType="solid">
        <fgColor rgb="00D4EAEA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267C7E"/>
      </top>
      <bottom style="medium">
        <color rgb="00267C7E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medium">
        <color rgb="00267C7E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67C7E"/>
      </left>
      <right style="medium">
        <color rgb="00267C7E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5" applyAlignment="1" pivotButton="0" quotePrefix="0" xfId="0">
      <alignment horizontal="left" vertical="center" indent="1"/>
    </xf>
    <xf numFmtId="0" fontId="5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left" vertical="center" indent="1"/>
    </xf>
    <xf numFmtId="0" fontId="5" fillId="7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12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</cols>
  <sheetData>
    <row r="1" ht="30" customHeight="1">
      <c r="A1" s="1" t="inlineStr">
        <is>
          <t>TEST DE NIVEAU 0 — MOUALIMY</t>
        </is>
      </c>
    </row>
    <row r="2" ht="18" customHeight="1">
      <c r="A2" s="2" t="inlineStr">
        <is>
          <t>Lecture/Écriture : saisir les erreurs (mineures -0,25 | majeures -0,50)  —  Autres exercices : saisir la note directement  —  Seuil : 30/40</t>
        </is>
      </c>
    </row>
    <row r="3" ht="5" customHeight="1"/>
    <row r="4" ht="36" customHeight="1">
      <c r="A4" s="3" t="inlineStr">
        <is>
          <t>Nom de l'étudiant</t>
        </is>
      </c>
      <c r="B4" s="3" t="inlineStr">
        <is>
          <t>LECTURE  /5</t>
        </is>
      </c>
      <c r="E4" s="3" t="inlineStr">
        <is>
          <t>ÉCRITURE  /7</t>
        </is>
      </c>
      <c r="H4" s="3" t="inlineStr">
        <is>
          <t>Alphabet
/3</t>
        </is>
      </c>
      <c r="I4" s="3" t="inlineStr">
        <is>
          <t>Solaire /
Lunaire
/10</t>
        </is>
      </c>
      <c r="J4" s="3" t="inlineStr">
        <is>
          <t>Écriture
attachée
/4</t>
        </is>
      </c>
      <c r="K4" s="3" t="inlineStr">
        <is>
          <t>Écriture
détachée
/4</t>
        </is>
      </c>
      <c r="L4" s="3" t="inlineStr">
        <is>
          <t>Correction
erreurs
/7</t>
        </is>
      </c>
      <c r="M4" s="3" t="inlineStr">
        <is>
          <t>NOTE
FINALE
/40</t>
        </is>
      </c>
      <c r="N4" s="3" t="inlineStr">
        <is>
          <t>RÉSULTAT</t>
        </is>
      </c>
    </row>
    <row r="5" ht="28" customHeight="1">
      <c r="B5" s="4" t="inlineStr">
        <is>
          <t>Err.
min.</t>
        </is>
      </c>
      <c r="C5" s="4" t="inlineStr">
        <is>
          <t>Err.
maj.</t>
        </is>
      </c>
      <c r="D5" s="4" t="inlineStr">
        <is>
          <t>Note /5</t>
        </is>
      </c>
      <c r="E5" s="4" t="inlineStr">
        <is>
          <t>Err.
min.</t>
        </is>
      </c>
      <c r="F5" s="4" t="inlineStr">
        <is>
          <t>Err.
maj.</t>
        </is>
      </c>
      <c r="G5" s="4" t="inlineStr">
        <is>
          <t>Note /7</t>
        </is>
      </c>
      <c r="H5" s="5" t="n"/>
      <c r="I5" s="5" t="n"/>
      <c r="J5" s="5" t="n"/>
      <c r="K5" s="5" t="n"/>
      <c r="L5" s="5" t="n"/>
    </row>
    <row r="6" ht="20" customHeight="1">
      <c r="A6" s="6" t="n"/>
      <c r="B6" s="7" t="n"/>
      <c r="C6" s="7" t="n"/>
      <c r="D6" s="8">
        <f>IF(AND(B6="",C6=""),"",MAX(0,5-IFERROR(B6,0)*0.25-IFERROR(C6,0)*0.5))</f>
        <v/>
      </c>
      <c r="E6" s="7" t="n"/>
      <c r="F6" s="7" t="n"/>
      <c r="G6" s="8">
        <f>IF(AND(E6="",F6=""),"",MAX(0,7-IFERROR(E6,0)*0.25-IFERROR(F6,0)*0.5))</f>
        <v/>
      </c>
      <c r="H6" s="7" t="n"/>
      <c r="I6" s="7" t="n"/>
      <c r="J6" s="7" t="n"/>
      <c r="K6" s="7" t="n"/>
      <c r="L6" s="7" t="n"/>
      <c r="M6" s="9">
        <f>IF(COUNTA(A6)=0,"",IFERROR(SUM(D6,G6,H6,I6,J6,K6,L6),""))</f>
        <v/>
      </c>
      <c r="N6" s="10">
        <f>IF(M6="","",IF(M6&gt;=30,"✓ Admis","✗ Refusé"))</f>
        <v/>
      </c>
    </row>
    <row r="7" ht="20" customHeight="1">
      <c r="A7" s="11" t="n"/>
      <c r="B7" s="12" t="n"/>
      <c r="C7" s="12" t="n"/>
      <c r="D7" s="8">
        <f>IF(AND(B7="",C7=""),"",MAX(0,5-IFERROR(B7,0)*0.25-IFERROR(C7,0)*0.5))</f>
        <v/>
      </c>
      <c r="E7" s="12" t="n"/>
      <c r="F7" s="12" t="n"/>
      <c r="G7" s="8">
        <f>IF(AND(E7="",F7=""),"",MAX(0,7-IFERROR(E7,0)*0.25-IFERROR(F7,0)*0.5))</f>
        <v/>
      </c>
      <c r="H7" s="12" t="n"/>
      <c r="I7" s="12" t="n"/>
      <c r="J7" s="12" t="n"/>
      <c r="K7" s="12" t="n"/>
      <c r="L7" s="12" t="n"/>
      <c r="M7" s="9">
        <f>IF(COUNTA(A7)=0,"",IFERROR(SUM(D7,G7,H7,I7,J7,K7,L7),""))</f>
        <v/>
      </c>
      <c r="N7" s="13">
        <f>IF(M7="","",IF(M7&gt;=30,"✓ Admis","✗ Refusé"))</f>
        <v/>
      </c>
    </row>
    <row r="8" ht="20" customHeight="1">
      <c r="A8" s="6" t="n"/>
      <c r="B8" s="7" t="n"/>
      <c r="C8" s="7" t="n"/>
      <c r="D8" s="8">
        <f>IF(AND(B8="",C8=""),"",MAX(0,5-IFERROR(B8,0)*0.25-IFERROR(C8,0)*0.5))</f>
        <v/>
      </c>
      <c r="E8" s="7" t="n"/>
      <c r="F8" s="7" t="n"/>
      <c r="G8" s="8">
        <f>IF(AND(E8="",F8=""),"",MAX(0,7-IFERROR(E8,0)*0.25-IFERROR(F8,0)*0.5))</f>
        <v/>
      </c>
      <c r="H8" s="7" t="n"/>
      <c r="I8" s="7" t="n"/>
      <c r="J8" s="7" t="n"/>
      <c r="K8" s="7" t="n"/>
      <c r="L8" s="7" t="n"/>
      <c r="M8" s="9">
        <f>IF(COUNTA(A8)=0,"",IFERROR(SUM(D8,G8,H8,I8,J8,K8,L8),""))</f>
        <v/>
      </c>
      <c r="N8" s="10">
        <f>IF(M8="","",IF(M8&gt;=30,"✓ Admis","✗ Refusé"))</f>
        <v/>
      </c>
    </row>
    <row r="9" ht="20" customHeight="1">
      <c r="A9" s="11" t="n"/>
      <c r="B9" s="12" t="n"/>
      <c r="C9" s="12" t="n"/>
      <c r="D9" s="8">
        <f>IF(AND(B9="",C9=""),"",MAX(0,5-IFERROR(B9,0)*0.25-IFERROR(C9,0)*0.5))</f>
        <v/>
      </c>
      <c r="E9" s="12" t="n"/>
      <c r="F9" s="12" t="n"/>
      <c r="G9" s="8">
        <f>IF(AND(E9="",F9=""),"",MAX(0,7-IFERROR(E9,0)*0.25-IFERROR(F9,0)*0.5))</f>
        <v/>
      </c>
      <c r="H9" s="12" t="n"/>
      <c r="I9" s="12" t="n"/>
      <c r="J9" s="12" t="n"/>
      <c r="K9" s="12" t="n"/>
      <c r="L9" s="12" t="n"/>
      <c r="M9" s="9">
        <f>IF(COUNTA(A9)=0,"",IFERROR(SUM(D9,G9,H9,I9,J9,K9,L9),""))</f>
        <v/>
      </c>
      <c r="N9" s="13">
        <f>IF(M9="","",IF(M9&gt;=30,"✓ Admis","✗ Refusé"))</f>
        <v/>
      </c>
    </row>
    <row r="10" ht="20" customHeight="1">
      <c r="A10" s="6" t="n"/>
      <c r="B10" s="7" t="n"/>
      <c r="C10" s="7" t="n"/>
      <c r="D10" s="8">
        <f>IF(AND(B10="",C10=""),"",MAX(0,5-IFERROR(B10,0)*0.25-IFERROR(C10,0)*0.5))</f>
        <v/>
      </c>
      <c r="E10" s="7" t="n"/>
      <c r="F10" s="7" t="n"/>
      <c r="G10" s="8">
        <f>IF(AND(E10="",F10=""),"",MAX(0,7-IFERROR(E10,0)*0.25-IFERROR(F10,0)*0.5))</f>
        <v/>
      </c>
      <c r="H10" s="7" t="n"/>
      <c r="I10" s="7" t="n"/>
      <c r="J10" s="7" t="n"/>
      <c r="K10" s="7" t="n"/>
      <c r="L10" s="7" t="n"/>
      <c r="M10" s="9">
        <f>IF(COUNTA(A10)=0,"",IFERROR(SUM(D10,G10,H10,I10,J10,K10,L10),""))</f>
        <v/>
      </c>
      <c r="N10" s="10">
        <f>IF(M10="","",IF(M10&gt;=30,"✓ Admis","✗ Refusé"))</f>
        <v/>
      </c>
    </row>
    <row r="11" ht="20" customHeight="1">
      <c r="A11" s="11" t="n"/>
      <c r="B11" s="12" t="n"/>
      <c r="C11" s="12" t="n"/>
      <c r="D11" s="8">
        <f>IF(AND(B11="",C11=""),"",MAX(0,5-IFERROR(B11,0)*0.25-IFERROR(C11,0)*0.5))</f>
        <v/>
      </c>
      <c r="E11" s="12" t="n"/>
      <c r="F11" s="12" t="n"/>
      <c r="G11" s="8">
        <f>IF(AND(E11="",F11=""),"",MAX(0,7-IFERROR(E11,0)*0.25-IFERROR(F11,0)*0.5))</f>
        <v/>
      </c>
      <c r="H11" s="12" t="n"/>
      <c r="I11" s="12" t="n"/>
      <c r="J11" s="12" t="n"/>
      <c r="K11" s="12" t="n"/>
      <c r="L11" s="12" t="n"/>
      <c r="M11" s="9">
        <f>IF(COUNTA(A11)=0,"",IFERROR(SUM(D11,G11,H11,I11,J11,K11,L11),""))</f>
        <v/>
      </c>
      <c r="N11" s="13">
        <f>IF(M11="","",IF(M11&gt;=30,"✓ Admis","✗ Refusé"))</f>
        <v/>
      </c>
    </row>
    <row r="12" ht="20" customHeight="1">
      <c r="A12" s="6" t="n"/>
      <c r="B12" s="7" t="n"/>
      <c r="C12" s="7" t="n"/>
      <c r="D12" s="8">
        <f>IF(AND(B12="",C12=""),"",MAX(0,5-IFERROR(B12,0)*0.25-IFERROR(C12,0)*0.5))</f>
        <v/>
      </c>
      <c r="E12" s="7" t="n"/>
      <c r="F12" s="7" t="n"/>
      <c r="G12" s="8">
        <f>IF(AND(E12="",F12=""),"",MAX(0,7-IFERROR(E12,0)*0.25-IFERROR(F12,0)*0.5))</f>
        <v/>
      </c>
      <c r="H12" s="7" t="n"/>
      <c r="I12" s="7" t="n"/>
      <c r="J12" s="7" t="n"/>
      <c r="K12" s="7" t="n"/>
      <c r="L12" s="7" t="n"/>
      <c r="M12" s="9">
        <f>IF(COUNTA(A12)=0,"",IFERROR(SUM(D12,G12,H12,I12,J12,K12,L12),""))</f>
        <v/>
      </c>
      <c r="N12" s="10">
        <f>IF(M12="","",IF(M12&gt;=30,"✓ Admis","✗ Refusé"))</f>
        <v/>
      </c>
    </row>
    <row r="13" ht="20" customHeight="1">
      <c r="A13" s="11" t="n"/>
      <c r="B13" s="12" t="n"/>
      <c r="C13" s="12" t="n"/>
      <c r="D13" s="8">
        <f>IF(AND(B13="",C13=""),"",MAX(0,5-IFERROR(B13,0)*0.25-IFERROR(C13,0)*0.5))</f>
        <v/>
      </c>
      <c r="E13" s="12" t="n"/>
      <c r="F13" s="12" t="n"/>
      <c r="G13" s="8">
        <f>IF(AND(E13="",F13=""),"",MAX(0,7-IFERROR(E13,0)*0.25-IFERROR(F13,0)*0.5))</f>
        <v/>
      </c>
      <c r="H13" s="12" t="n"/>
      <c r="I13" s="12" t="n"/>
      <c r="J13" s="12" t="n"/>
      <c r="K13" s="12" t="n"/>
      <c r="L13" s="12" t="n"/>
      <c r="M13" s="9">
        <f>IF(COUNTA(A13)=0,"",IFERROR(SUM(D13,G13,H13,I13,J13,K13,L13),""))</f>
        <v/>
      </c>
      <c r="N13" s="13">
        <f>IF(M13="","",IF(M13&gt;=30,"✓ Admis","✗ Refusé"))</f>
        <v/>
      </c>
    </row>
    <row r="14" ht="20" customHeight="1">
      <c r="A14" s="6" t="n"/>
      <c r="B14" s="7" t="n"/>
      <c r="C14" s="7" t="n"/>
      <c r="D14" s="8">
        <f>IF(AND(B14="",C14=""),"",MAX(0,5-IFERROR(B14,0)*0.25-IFERROR(C14,0)*0.5))</f>
        <v/>
      </c>
      <c r="E14" s="7" t="n"/>
      <c r="F14" s="7" t="n"/>
      <c r="G14" s="8">
        <f>IF(AND(E14="",F14=""),"",MAX(0,7-IFERROR(E14,0)*0.25-IFERROR(F14,0)*0.5))</f>
        <v/>
      </c>
      <c r="H14" s="7" t="n"/>
      <c r="I14" s="7" t="n"/>
      <c r="J14" s="7" t="n"/>
      <c r="K14" s="7" t="n"/>
      <c r="L14" s="7" t="n"/>
      <c r="M14" s="9">
        <f>IF(COUNTA(A14)=0,"",IFERROR(SUM(D14,G14,H14,I14,J14,K14,L14),""))</f>
        <v/>
      </c>
      <c r="N14" s="10">
        <f>IF(M14="","",IF(M14&gt;=30,"✓ Admis","✗ Refusé"))</f>
        <v/>
      </c>
    </row>
    <row r="15" ht="20" customHeight="1">
      <c r="A15" s="11" t="n"/>
      <c r="B15" s="12" t="n"/>
      <c r="C15" s="12" t="n"/>
      <c r="D15" s="8">
        <f>IF(AND(B15="",C15=""),"",MAX(0,5-IFERROR(B15,0)*0.25-IFERROR(C15,0)*0.5))</f>
        <v/>
      </c>
      <c r="E15" s="12" t="n"/>
      <c r="F15" s="12" t="n"/>
      <c r="G15" s="8">
        <f>IF(AND(E15="",F15=""),"",MAX(0,7-IFERROR(E15,0)*0.25-IFERROR(F15,0)*0.5))</f>
        <v/>
      </c>
      <c r="H15" s="12" t="n"/>
      <c r="I15" s="12" t="n"/>
      <c r="J15" s="12" t="n"/>
      <c r="K15" s="12" t="n"/>
      <c r="L15" s="12" t="n"/>
      <c r="M15" s="9">
        <f>IF(COUNTA(A15)=0,"",IFERROR(SUM(D15,G15,H15,I15,J15,K15,L15),""))</f>
        <v/>
      </c>
      <c r="N15" s="13">
        <f>IF(M15="","",IF(M15&gt;=30,"✓ Admis","✗ Refusé"))</f>
        <v/>
      </c>
    </row>
    <row r="16" ht="20" customHeight="1">
      <c r="A16" s="6" t="n"/>
      <c r="B16" s="7" t="n"/>
      <c r="C16" s="7" t="n"/>
      <c r="D16" s="8">
        <f>IF(AND(B16="",C16=""),"",MAX(0,5-IFERROR(B16,0)*0.25-IFERROR(C16,0)*0.5))</f>
        <v/>
      </c>
      <c r="E16" s="7" t="n"/>
      <c r="F16" s="7" t="n"/>
      <c r="G16" s="8">
        <f>IF(AND(E16="",F16=""),"",MAX(0,7-IFERROR(E16,0)*0.25-IFERROR(F16,0)*0.5))</f>
        <v/>
      </c>
      <c r="H16" s="7" t="n"/>
      <c r="I16" s="7" t="n"/>
      <c r="J16" s="7" t="n"/>
      <c r="K16" s="7" t="n"/>
      <c r="L16" s="7" t="n"/>
      <c r="M16" s="9">
        <f>IF(COUNTA(A16)=0,"",IFERROR(SUM(D16,G16,H16,I16,J16,K16,L16),""))</f>
        <v/>
      </c>
      <c r="N16" s="10">
        <f>IF(M16="","",IF(M16&gt;=30,"✓ Admis","✗ Refusé"))</f>
        <v/>
      </c>
    </row>
    <row r="17" ht="20" customHeight="1">
      <c r="A17" s="11" t="n"/>
      <c r="B17" s="12" t="n"/>
      <c r="C17" s="12" t="n"/>
      <c r="D17" s="8">
        <f>IF(AND(B17="",C17=""),"",MAX(0,5-IFERROR(B17,0)*0.25-IFERROR(C17,0)*0.5))</f>
        <v/>
      </c>
      <c r="E17" s="12" t="n"/>
      <c r="F17" s="12" t="n"/>
      <c r="G17" s="8">
        <f>IF(AND(E17="",F17=""),"",MAX(0,7-IFERROR(E17,0)*0.25-IFERROR(F17,0)*0.5))</f>
        <v/>
      </c>
      <c r="H17" s="12" t="n"/>
      <c r="I17" s="12" t="n"/>
      <c r="J17" s="12" t="n"/>
      <c r="K17" s="12" t="n"/>
      <c r="L17" s="12" t="n"/>
      <c r="M17" s="9">
        <f>IF(COUNTA(A17)=0,"",IFERROR(SUM(D17,G17,H17,I17,J17,K17,L17),""))</f>
        <v/>
      </c>
      <c r="N17" s="13">
        <f>IF(M17="","",IF(M17&gt;=30,"✓ Admis","✗ Refusé"))</f>
        <v/>
      </c>
    </row>
    <row r="18" ht="20" customHeight="1">
      <c r="A18" s="6" t="n"/>
      <c r="B18" s="7" t="n"/>
      <c r="C18" s="7" t="n"/>
      <c r="D18" s="8">
        <f>IF(AND(B18="",C18=""),"",MAX(0,5-IFERROR(B18,0)*0.25-IFERROR(C18,0)*0.5))</f>
        <v/>
      </c>
      <c r="E18" s="7" t="n"/>
      <c r="F18" s="7" t="n"/>
      <c r="G18" s="8">
        <f>IF(AND(E18="",F18=""),"",MAX(0,7-IFERROR(E18,0)*0.25-IFERROR(F18,0)*0.5))</f>
        <v/>
      </c>
      <c r="H18" s="7" t="n"/>
      <c r="I18" s="7" t="n"/>
      <c r="J18" s="7" t="n"/>
      <c r="K18" s="7" t="n"/>
      <c r="L18" s="7" t="n"/>
      <c r="M18" s="9">
        <f>IF(COUNTA(A18)=0,"",IFERROR(SUM(D18,G18,H18,I18,J18,K18,L18),""))</f>
        <v/>
      </c>
      <c r="N18" s="10">
        <f>IF(M18="","",IF(M18&gt;=30,"✓ Admis","✗ Refusé"))</f>
        <v/>
      </c>
    </row>
    <row r="19" ht="20" customHeight="1">
      <c r="A19" s="11" t="n"/>
      <c r="B19" s="12" t="n"/>
      <c r="C19" s="12" t="n"/>
      <c r="D19" s="8">
        <f>IF(AND(B19="",C19=""),"",MAX(0,5-IFERROR(B19,0)*0.25-IFERROR(C19,0)*0.5))</f>
        <v/>
      </c>
      <c r="E19" s="12" t="n"/>
      <c r="F19" s="12" t="n"/>
      <c r="G19" s="8">
        <f>IF(AND(E19="",F19=""),"",MAX(0,7-IFERROR(E19,0)*0.25-IFERROR(F19,0)*0.5))</f>
        <v/>
      </c>
      <c r="H19" s="12" t="n"/>
      <c r="I19" s="12" t="n"/>
      <c r="J19" s="12" t="n"/>
      <c r="K19" s="12" t="n"/>
      <c r="L19" s="12" t="n"/>
      <c r="M19" s="9">
        <f>IF(COUNTA(A19)=0,"",IFERROR(SUM(D19,G19,H19,I19,J19,K19,L19),""))</f>
        <v/>
      </c>
      <c r="N19" s="13">
        <f>IF(M19="","",IF(M19&gt;=30,"✓ Admis","✗ Refusé"))</f>
        <v/>
      </c>
    </row>
    <row r="20" ht="20" customHeight="1">
      <c r="A20" s="6" t="n"/>
      <c r="B20" s="7" t="n"/>
      <c r="C20" s="7" t="n"/>
      <c r="D20" s="8">
        <f>IF(AND(B20="",C20=""),"",MAX(0,5-IFERROR(B20,0)*0.25-IFERROR(C20,0)*0.5))</f>
        <v/>
      </c>
      <c r="E20" s="7" t="n"/>
      <c r="F20" s="7" t="n"/>
      <c r="G20" s="8">
        <f>IF(AND(E20="",F20=""),"",MAX(0,7-IFERROR(E20,0)*0.25-IFERROR(F20,0)*0.5))</f>
        <v/>
      </c>
      <c r="H20" s="7" t="n"/>
      <c r="I20" s="7" t="n"/>
      <c r="J20" s="7" t="n"/>
      <c r="K20" s="7" t="n"/>
      <c r="L20" s="7" t="n"/>
      <c r="M20" s="9">
        <f>IF(COUNTA(A20)=0,"",IFERROR(SUM(D20,G20,H20,I20,J20,K20,L20),""))</f>
        <v/>
      </c>
      <c r="N20" s="10">
        <f>IF(M20="","",IF(M20&gt;=30,"✓ Admis","✗ Refusé"))</f>
        <v/>
      </c>
    </row>
    <row r="21" ht="20" customHeight="1">
      <c r="A21" s="11" t="n"/>
      <c r="B21" s="12" t="n"/>
      <c r="C21" s="12" t="n"/>
      <c r="D21" s="8">
        <f>IF(AND(B21="",C21=""),"",MAX(0,5-IFERROR(B21,0)*0.25-IFERROR(C21,0)*0.5))</f>
        <v/>
      </c>
      <c r="E21" s="12" t="n"/>
      <c r="F21" s="12" t="n"/>
      <c r="G21" s="8">
        <f>IF(AND(E21="",F21=""),"",MAX(0,7-IFERROR(E21,0)*0.25-IFERROR(F21,0)*0.5))</f>
        <v/>
      </c>
      <c r="H21" s="12" t="n"/>
      <c r="I21" s="12" t="n"/>
      <c r="J21" s="12" t="n"/>
      <c r="K21" s="12" t="n"/>
      <c r="L21" s="12" t="n"/>
      <c r="M21" s="9">
        <f>IF(COUNTA(A21)=0,"",IFERROR(SUM(D21,G21,H21,I21,J21,K21,L21),""))</f>
        <v/>
      </c>
      <c r="N21" s="13">
        <f>IF(M21="","",IF(M21&gt;=30,"✓ Admis","✗ Refusé"))</f>
        <v/>
      </c>
    </row>
    <row r="22" ht="20" customHeight="1">
      <c r="A22" s="6" t="n"/>
      <c r="B22" s="7" t="n"/>
      <c r="C22" s="7" t="n"/>
      <c r="D22" s="8">
        <f>IF(AND(B22="",C22=""),"",MAX(0,5-IFERROR(B22,0)*0.25-IFERROR(C22,0)*0.5))</f>
        <v/>
      </c>
      <c r="E22" s="7" t="n"/>
      <c r="F22" s="7" t="n"/>
      <c r="G22" s="8">
        <f>IF(AND(E22="",F22=""),"",MAX(0,7-IFERROR(E22,0)*0.25-IFERROR(F22,0)*0.5))</f>
        <v/>
      </c>
      <c r="H22" s="7" t="n"/>
      <c r="I22" s="7" t="n"/>
      <c r="J22" s="7" t="n"/>
      <c r="K22" s="7" t="n"/>
      <c r="L22" s="7" t="n"/>
      <c r="M22" s="9">
        <f>IF(COUNTA(A22)=0,"",IFERROR(SUM(D22,G22,H22,I22,J22,K22,L22),""))</f>
        <v/>
      </c>
      <c r="N22" s="10">
        <f>IF(M22="","",IF(M22&gt;=30,"✓ Admis","✗ Refusé"))</f>
        <v/>
      </c>
    </row>
    <row r="23" ht="20" customHeight="1">
      <c r="A23" s="11" t="n"/>
      <c r="B23" s="12" t="n"/>
      <c r="C23" s="12" t="n"/>
      <c r="D23" s="8">
        <f>IF(AND(B23="",C23=""),"",MAX(0,5-IFERROR(B23,0)*0.25-IFERROR(C23,0)*0.5))</f>
        <v/>
      </c>
      <c r="E23" s="12" t="n"/>
      <c r="F23" s="12" t="n"/>
      <c r="G23" s="8">
        <f>IF(AND(E23="",F23=""),"",MAX(0,7-IFERROR(E23,0)*0.25-IFERROR(F23,0)*0.5))</f>
        <v/>
      </c>
      <c r="H23" s="12" t="n"/>
      <c r="I23" s="12" t="n"/>
      <c r="J23" s="12" t="n"/>
      <c r="K23" s="12" t="n"/>
      <c r="L23" s="12" t="n"/>
      <c r="M23" s="9">
        <f>IF(COUNTA(A23)=0,"",IFERROR(SUM(D23,G23,H23,I23,J23,K23,L23),""))</f>
        <v/>
      </c>
      <c r="N23" s="13">
        <f>IF(M23="","",IF(M23&gt;=30,"✓ Admis","✗ Refusé"))</f>
        <v/>
      </c>
    </row>
    <row r="24" ht="20" customHeight="1">
      <c r="A24" s="6" t="n"/>
      <c r="B24" s="7" t="n"/>
      <c r="C24" s="7" t="n"/>
      <c r="D24" s="8">
        <f>IF(AND(B24="",C24=""),"",MAX(0,5-IFERROR(B24,0)*0.25-IFERROR(C24,0)*0.5))</f>
        <v/>
      </c>
      <c r="E24" s="7" t="n"/>
      <c r="F24" s="7" t="n"/>
      <c r="G24" s="8">
        <f>IF(AND(E24="",F24=""),"",MAX(0,7-IFERROR(E24,0)*0.25-IFERROR(F24,0)*0.5))</f>
        <v/>
      </c>
      <c r="H24" s="7" t="n"/>
      <c r="I24" s="7" t="n"/>
      <c r="J24" s="7" t="n"/>
      <c r="K24" s="7" t="n"/>
      <c r="L24" s="7" t="n"/>
      <c r="M24" s="9">
        <f>IF(COUNTA(A24)=0,"",IFERROR(SUM(D24,G24,H24,I24,J24,K24,L24),""))</f>
        <v/>
      </c>
      <c r="N24" s="10">
        <f>IF(M24="","",IF(M24&gt;=30,"✓ Admis","✗ Refusé"))</f>
        <v/>
      </c>
    </row>
    <row r="25" ht="20" customHeight="1">
      <c r="A25" s="11" t="n"/>
      <c r="B25" s="12" t="n"/>
      <c r="C25" s="12" t="n"/>
      <c r="D25" s="8">
        <f>IF(AND(B25="",C25=""),"",MAX(0,5-IFERROR(B25,0)*0.25-IFERROR(C25,0)*0.5))</f>
        <v/>
      </c>
      <c r="E25" s="12" t="n"/>
      <c r="F25" s="12" t="n"/>
      <c r="G25" s="8">
        <f>IF(AND(E25="",F25=""),"",MAX(0,7-IFERROR(E25,0)*0.25-IFERROR(F25,0)*0.5))</f>
        <v/>
      </c>
      <c r="H25" s="12" t="n"/>
      <c r="I25" s="12" t="n"/>
      <c r="J25" s="12" t="n"/>
      <c r="K25" s="12" t="n"/>
      <c r="L25" s="12" t="n"/>
      <c r="M25" s="9">
        <f>IF(COUNTA(A25)=0,"",IFERROR(SUM(D25,G25,H25,I25,J25,K25,L25),""))</f>
        <v/>
      </c>
      <c r="N25" s="13">
        <f>IF(M25="","",IF(M25&gt;=30,"✓ Admis","✗ Refusé"))</f>
        <v/>
      </c>
    </row>
    <row r="26" ht="20" customHeight="1">
      <c r="A26" s="6" t="n"/>
      <c r="B26" s="7" t="n"/>
      <c r="C26" s="7" t="n"/>
      <c r="D26" s="8">
        <f>IF(AND(B26="",C26=""),"",MAX(0,5-IFERROR(B26,0)*0.25-IFERROR(C26,0)*0.5))</f>
        <v/>
      </c>
      <c r="E26" s="7" t="n"/>
      <c r="F26" s="7" t="n"/>
      <c r="G26" s="8">
        <f>IF(AND(E26="",F26=""),"",MAX(0,7-IFERROR(E26,0)*0.25-IFERROR(F26,0)*0.5))</f>
        <v/>
      </c>
      <c r="H26" s="7" t="n"/>
      <c r="I26" s="7" t="n"/>
      <c r="J26" s="7" t="n"/>
      <c r="K26" s="7" t="n"/>
      <c r="L26" s="7" t="n"/>
      <c r="M26" s="9">
        <f>IF(COUNTA(A26)=0,"",IFERROR(SUM(D26,G26,H26,I26,J26,K26,L26),""))</f>
        <v/>
      </c>
      <c r="N26" s="10">
        <f>IF(M26="","",IF(M26&gt;=30,"✓ Admis","✗ Refusé"))</f>
        <v/>
      </c>
    </row>
    <row r="27" ht="20" customHeight="1">
      <c r="A27" s="11" t="n"/>
      <c r="B27" s="12" t="n"/>
      <c r="C27" s="12" t="n"/>
      <c r="D27" s="8">
        <f>IF(AND(B27="",C27=""),"",MAX(0,5-IFERROR(B27,0)*0.25-IFERROR(C27,0)*0.5))</f>
        <v/>
      </c>
      <c r="E27" s="12" t="n"/>
      <c r="F27" s="12" t="n"/>
      <c r="G27" s="8">
        <f>IF(AND(E27="",F27=""),"",MAX(0,7-IFERROR(E27,0)*0.25-IFERROR(F27,0)*0.5))</f>
        <v/>
      </c>
      <c r="H27" s="12" t="n"/>
      <c r="I27" s="12" t="n"/>
      <c r="J27" s="12" t="n"/>
      <c r="K27" s="12" t="n"/>
      <c r="L27" s="12" t="n"/>
      <c r="M27" s="9">
        <f>IF(COUNTA(A27)=0,"",IFERROR(SUM(D27,G27,H27,I27,J27,K27,L27),""))</f>
        <v/>
      </c>
      <c r="N27" s="13">
        <f>IF(M27="","",IF(M27&gt;=30,"✓ Admis","✗ Refusé"))</f>
        <v/>
      </c>
    </row>
    <row r="28" ht="20" customHeight="1">
      <c r="A28" s="6" t="n"/>
      <c r="B28" s="7" t="n"/>
      <c r="C28" s="7" t="n"/>
      <c r="D28" s="8">
        <f>IF(AND(B28="",C28=""),"",MAX(0,5-IFERROR(B28,0)*0.25-IFERROR(C28,0)*0.5))</f>
        <v/>
      </c>
      <c r="E28" s="7" t="n"/>
      <c r="F28" s="7" t="n"/>
      <c r="G28" s="8">
        <f>IF(AND(E28="",F28=""),"",MAX(0,7-IFERROR(E28,0)*0.25-IFERROR(F28,0)*0.5))</f>
        <v/>
      </c>
      <c r="H28" s="7" t="n"/>
      <c r="I28" s="7" t="n"/>
      <c r="J28" s="7" t="n"/>
      <c r="K28" s="7" t="n"/>
      <c r="L28" s="7" t="n"/>
      <c r="M28" s="9">
        <f>IF(COUNTA(A28)=0,"",IFERROR(SUM(D28,G28,H28,I28,J28,K28,L28),""))</f>
        <v/>
      </c>
      <c r="N28" s="10">
        <f>IF(M28="","",IF(M28&gt;=30,"✓ Admis","✗ Refusé"))</f>
        <v/>
      </c>
    </row>
    <row r="29" ht="20" customHeight="1">
      <c r="A29" s="11" t="n"/>
      <c r="B29" s="12" t="n"/>
      <c r="C29" s="12" t="n"/>
      <c r="D29" s="8">
        <f>IF(AND(B29="",C29=""),"",MAX(0,5-IFERROR(B29,0)*0.25-IFERROR(C29,0)*0.5))</f>
        <v/>
      </c>
      <c r="E29" s="12" t="n"/>
      <c r="F29" s="12" t="n"/>
      <c r="G29" s="8">
        <f>IF(AND(E29="",F29=""),"",MAX(0,7-IFERROR(E29,0)*0.25-IFERROR(F29,0)*0.5))</f>
        <v/>
      </c>
      <c r="H29" s="12" t="n"/>
      <c r="I29" s="12" t="n"/>
      <c r="J29" s="12" t="n"/>
      <c r="K29" s="12" t="n"/>
      <c r="L29" s="12" t="n"/>
      <c r="M29" s="9">
        <f>IF(COUNTA(A29)=0,"",IFERROR(SUM(D29,G29,H29,I29,J29,K29,L29),""))</f>
        <v/>
      </c>
      <c r="N29" s="13">
        <f>IF(M29="","",IF(M29&gt;=30,"✓ Admis","✗ Refusé"))</f>
        <v/>
      </c>
    </row>
    <row r="30" ht="20" customHeight="1">
      <c r="A30" s="6" t="n"/>
      <c r="B30" s="7" t="n"/>
      <c r="C30" s="7" t="n"/>
      <c r="D30" s="8">
        <f>IF(AND(B30="",C30=""),"",MAX(0,5-IFERROR(B30,0)*0.25-IFERROR(C30,0)*0.5))</f>
        <v/>
      </c>
      <c r="E30" s="7" t="n"/>
      <c r="F30" s="7" t="n"/>
      <c r="G30" s="8">
        <f>IF(AND(E30="",F30=""),"",MAX(0,7-IFERROR(E30,0)*0.25-IFERROR(F30,0)*0.5))</f>
        <v/>
      </c>
      <c r="H30" s="7" t="n"/>
      <c r="I30" s="7" t="n"/>
      <c r="J30" s="7" t="n"/>
      <c r="K30" s="7" t="n"/>
      <c r="L30" s="7" t="n"/>
      <c r="M30" s="9">
        <f>IF(COUNTA(A30)=0,"",IFERROR(SUM(D30,G30,H30,I30,J30,K30,L30),""))</f>
        <v/>
      </c>
      <c r="N30" s="10">
        <f>IF(M30="","",IF(M30&gt;=30,"✓ Admis","✗ Refusé"))</f>
        <v/>
      </c>
    </row>
    <row r="31" ht="20" customHeight="1">
      <c r="A31" s="11" t="n"/>
      <c r="B31" s="12" t="n"/>
      <c r="C31" s="12" t="n"/>
      <c r="D31" s="8">
        <f>IF(AND(B31="",C31=""),"",MAX(0,5-IFERROR(B31,0)*0.25-IFERROR(C31,0)*0.5))</f>
        <v/>
      </c>
      <c r="E31" s="12" t="n"/>
      <c r="F31" s="12" t="n"/>
      <c r="G31" s="8">
        <f>IF(AND(E31="",F31=""),"",MAX(0,7-IFERROR(E31,0)*0.25-IFERROR(F31,0)*0.5))</f>
        <v/>
      </c>
      <c r="H31" s="12" t="n"/>
      <c r="I31" s="12" t="n"/>
      <c r="J31" s="12" t="n"/>
      <c r="K31" s="12" t="n"/>
      <c r="L31" s="12" t="n"/>
      <c r="M31" s="9">
        <f>IF(COUNTA(A31)=0,"",IFERROR(SUM(D31,G31,H31,I31,J31,K31,L31),""))</f>
        <v/>
      </c>
      <c r="N31" s="13">
        <f>IF(M31="","",IF(M31&gt;=30,"✓ Admis","✗ Refusé"))</f>
        <v/>
      </c>
    </row>
    <row r="32" ht="20" customHeight="1">
      <c r="A32" s="6" t="n"/>
      <c r="B32" s="7" t="n"/>
      <c r="C32" s="7" t="n"/>
      <c r="D32" s="8">
        <f>IF(AND(B32="",C32=""),"",MAX(0,5-IFERROR(B32,0)*0.25-IFERROR(C32,0)*0.5))</f>
        <v/>
      </c>
      <c r="E32" s="7" t="n"/>
      <c r="F32" s="7" t="n"/>
      <c r="G32" s="8">
        <f>IF(AND(E32="",F32=""),"",MAX(0,7-IFERROR(E32,0)*0.25-IFERROR(F32,0)*0.5))</f>
        <v/>
      </c>
      <c r="H32" s="7" t="n"/>
      <c r="I32" s="7" t="n"/>
      <c r="J32" s="7" t="n"/>
      <c r="K32" s="7" t="n"/>
      <c r="L32" s="7" t="n"/>
      <c r="M32" s="9">
        <f>IF(COUNTA(A32)=0,"",IFERROR(SUM(D32,G32,H32,I32,J32,K32,L32),""))</f>
        <v/>
      </c>
      <c r="N32" s="10">
        <f>IF(M32="","",IF(M32&gt;=30,"✓ Admis","✗ Refusé"))</f>
        <v/>
      </c>
    </row>
    <row r="33" ht="20" customHeight="1">
      <c r="A33" s="11" t="n"/>
      <c r="B33" s="12" t="n"/>
      <c r="C33" s="12" t="n"/>
      <c r="D33" s="8">
        <f>IF(AND(B33="",C33=""),"",MAX(0,5-IFERROR(B33,0)*0.25-IFERROR(C33,0)*0.5))</f>
        <v/>
      </c>
      <c r="E33" s="12" t="n"/>
      <c r="F33" s="12" t="n"/>
      <c r="G33" s="8">
        <f>IF(AND(E33="",F33=""),"",MAX(0,7-IFERROR(E33,0)*0.25-IFERROR(F33,0)*0.5))</f>
        <v/>
      </c>
      <c r="H33" s="12" t="n"/>
      <c r="I33" s="12" t="n"/>
      <c r="J33" s="12" t="n"/>
      <c r="K33" s="12" t="n"/>
      <c r="L33" s="12" t="n"/>
      <c r="M33" s="9">
        <f>IF(COUNTA(A33)=0,"",IFERROR(SUM(D33,G33,H33,I33,J33,K33,L33),""))</f>
        <v/>
      </c>
      <c r="N33" s="13">
        <f>IF(M33="","",IF(M33&gt;=30,"✓ Admis","✗ Refusé"))</f>
        <v/>
      </c>
    </row>
    <row r="34" ht="20" customHeight="1">
      <c r="A34" s="6" t="n"/>
      <c r="B34" s="7" t="n"/>
      <c r="C34" s="7" t="n"/>
      <c r="D34" s="8">
        <f>IF(AND(B34="",C34=""),"",MAX(0,5-IFERROR(B34,0)*0.25-IFERROR(C34,0)*0.5))</f>
        <v/>
      </c>
      <c r="E34" s="7" t="n"/>
      <c r="F34" s="7" t="n"/>
      <c r="G34" s="8">
        <f>IF(AND(E34="",F34=""),"",MAX(0,7-IFERROR(E34,0)*0.25-IFERROR(F34,0)*0.5))</f>
        <v/>
      </c>
      <c r="H34" s="7" t="n"/>
      <c r="I34" s="7" t="n"/>
      <c r="J34" s="7" t="n"/>
      <c r="K34" s="7" t="n"/>
      <c r="L34" s="7" t="n"/>
      <c r="M34" s="9">
        <f>IF(COUNTA(A34)=0,"",IFERROR(SUM(D34,G34,H34,I34,J34,K34,L34),""))</f>
        <v/>
      </c>
      <c r="N34" s="10">
        <f>IF(M34="","",IF(M34&gt;=30,"✓ Admis","✗ Refusé"))</f>
        <v/>
      </c>
    </row>
    <row r="35" ht="20" customHeight="1">
      <c r="A35" s="11" t="n"/>
      <c r="B35" s="12" t="n"/>
      <c r="C35" s="12" t="n"/>
      <c r="D35" s="8">
        <f>IF(AND(B35="",C35=""),"",MAX(0,5-IFERROR(B35,0)*0.25-IFERROR(C35,0)*0.5))</f>
        <v/>
      </c>
      <c r="E35" s="12" t="n"/>
      <c r="F35" s="12" t="n"/>
      <c r="G35" s="8">
        <f>IF(AND(E35="",F35=""),"",MAX(0,7-IFERROR(E35,0)*0.25-IFERROR(F35,0)*0.5))</f>
        <v/>
      </c>
      <c r="H35" s="12" t="n"/>
      <c r="I35" s="12" t="n"/>
      <c r="J35" s="12" t="n"/>
      <c r="K35" s="12" t="n"/>
      <c r="L35" s="12" t="n"/>
      <c r="M35" s="9">
        <f>IF(COUNTA(A35)=0,"",IFERROR(SUM(D35,G35,H35,I35,J35,K35,L35),""))</f>
        <v/>
      </c>
      <c r="N35" s="13">
        <f>IF(M35="","",IF(M35&gt;=30,"✓ Admis","✗ Refusé"))</f>
        <v/>
      </c>
    </row>
    <row r="36" ht="20" customHeight="1">
      <c r="A36" s="6" t="n"/>
      <c r="B36" s="7" t="n"/>
      <c r="C36" s="7" t="n"/>
      <c r="D36" s="8">
        <f>IF(AND(B36="",C36=""),"",MAX(0,5-IFERROR(B36,0)*0.25-IFERROR(C36,0)*0.5))</f>
        <v/>
      </c>
      <c r="E36" s="7" t="n"/>
      <c r="F36" s="7" t="n"/>
      <c r="G36" s="8">
        <f>IF(AND(E36="",F36=""),"",MAX(0,7-IFERROR(E36,0)*0.25-IFERROR(F36,0)*0.5))</f>
        <v/>
      </c>
      <c r="H36" s="7" t="n"/>
      <c r="I36" s="7" t="n"/>
      <c r="J36" s="7" t="n"/>
      <c r="K36" s="7" t="n"/>
      <c r="L36" s="7" t="n"/>
      <c r="M36" s="9">
        <f>IF(COUNTA(A36)=0,"",IFERROR(SUM(D36,G36,H36,I36,J36,K36,L36),""))</f>
        <v/>
      </c>
      <c r="N36" s="10">
        <f>IF(M36="","",IF(M36&gt;=30,"✓ Admis","✗ Refusé"))</f>
        <v/>
      </c>
    </row>
    <row r="37" ht="20" customHeight="1">
      <c r="A37" s="11" t="n"/>
      <c r="B37" s="12" t="n"/>
      <c r="C37" s="12" t="n"/>
      <c r="D37" s="8">
        <f>IF(AND(B37="",C37=""),"",MAX(0,5-IFERROR(B37,0)*0.25-IFERROR(C37,0)*0.5))</f>
        <v/>
      </c>
      <c r="E37" s="12" t="n"/>
      <c r="F37" s="12" t="n"/>
      <c r="G37" s="8">
        <f>IF(AND(E37="",F37=""),"",MAX(0,7-IFERROR(E37,0)*0.25-IFERROR(F37,0)*0.5))</f>
        <v/>
      </c>
      <c r="H37" s="12" t="n"/>
      <c r="I37" s="12" t="n"/>
      <c r="J37" s="12" t="n"/>
      <c r="K37" s="12" t="n"/>
      <c r="L37" s="12" t="n"/>
      <c r="M37" s="9">
        <f>IF(COUNTA(A37)=0,"",IFERROR(SUM(D37,G37,H37,I37,J37,K37,L37),""))</f>
        <v/>
      </c>
      <c r="N37" s="13">
        <f>IF(M37="","",IF(M37&gt;=30,"✓ Admis","✗ Refusé"))</f>
        <v/>
      </c>
    </row>
    <row r="38" ht="20" customHeight="1">
      <c r="A38" s="6" t="n"/>
      <c r="B38" s="7" t="n"/>
      <c r="C38" s="7" t="n"/>
      <c r="D38" s="8">
        <f>IF(AND(B38="",C38=""),"",MAX(0,5-IFERROR(B38,0)*0.25-IFERROR(C38,0)*0.5))</f>
        <v/>
      </c>
      <c r="E38" s="7" t="n"/>
      <c r="F38" s="7" t="n"/>
      <c r="G38" s="8">
        <f>IF(AND(E38="",F38=""),"",MAX(0,7-IFERROR(E38,0)*0.25-IFERROR(F38,0)*0.5))</f>
        <v/>
      </c>
      <c r="H38" s="7" t="n"/>
      <c r="I38" s="7" t="n"/>
      <c r="J38" s="7" t="n"/>
      <c r="K38" s="7" t="n"/>
      <c r="L38" s="7" t="n"/>
      <c r="M38" s="9">
        <f>IF(COUNTA(A38)=0,"",IFERROR(SUM(D38,G38,H38,I38,J38,K38,L38),""))</f>
        <v/>
      </c>
      <c r="N38" s="10">
        <f>IF(M38="","",IF(M38&gt;=30,"✓ Admis","✗ Refusé"))</f>
        <v/>
      </c>
    </row>
    <row r="39" ht="20" customHeight="1">
      <c r="A39" s="11" t="n"/>
      <c r="B39" s="12" t="n"/>
      <c r="C39" s="12" t="n"/>
      <c r="D39" s="8">
        <f>IF(AND(B39="",C39=""),"",MAX(0,5-IFERROR(B39,0)*0.25-IFERROR(C39,0)*0.5))</f>
        <v/>
      </c>
      <c r="E39" s="12" t="n"/>
      <c r="F39" s="12" t="n"/>
      <c r="G39" s="8">
        <f>IF(AND(E39="",F39=""),"",MAX(0,7-IFERROR(E39,0)*0.25-IFERROR(F39,0)*0.5))</f>
        <v/>
      </c>
      <c r="H39" s="12" t="n"/>
      <c r="I39" s="12" t="n"/>
      <c r="J39" s="12" t="n"/>
      <c r="K39" s="12" t="n"/>
      <c r="L39" s="12" t="n"/>
      <c r="M39" s="9">
        <f>IF(COUNTA(A39)=0,"",IFERROR(SUM(D39,G39,H39,I39,J39,K39,L39),""))</f>
        <v/>
      </c>
      <c r="N39" s="13">
        <f>IF(M39="","",IF(M39&gt;=30,"✓ Admis","✗ Refusé"))</f>
        <v/>
      </c>
    </row>
    <row r="40" ht="20" customHeight="1">
      <c r="A40" s="6" t="n"/>
      <c r="B40" s="7" t="n"/>
      <c r="C40" s="7" t="n"/>
      <c r="D40" s="8">
        <f>IF(AND(B40="",C40=""),"",MAX(0,5-IFERROR(B40,0)*0.25-IFERROR(C40,0)*0.5))</f>
        <v/>
      </c>
      <c r="E40" s="7" t="n"/>
      <c r="F40" s="7" t="n"/>
      <c r="G40" s="8">
        <f>IF(AND(E40="",F40=""),"",MAX(0,7-IFERROR(E40,0)*0.25-IFERROR(F40,0)*0.5))</f>
        <v/>
      </c>
      <c r="H40" s="7" t="n"/>
      <c r="I40" s="7" t="n"/>
      <c r="J40" s="7" t="n"/>
      <c r="K40" s="7" t="n"/>
      <c r="L40" s="7" t="n"/>
      <c r="M40" s="9">
        <f>IF(COUNTA(A40)=0,"",IFERROR(SUM(D40,G40,H40,I40,J40,K40,L40),""))</f>
        <v/>
      </c>
      <c r="N40" s="10">
        <f>IF(M40="","",IF(M40&gt;=30,"✓ Admis","✗ Refusé"))</f>
        <v/>
      </c>
    </row>
    <row r="41" ht="20" customHeight="1">
      <c r="A41" s="11" t="n"/>
      <c r="B41" s="12" t="n"/>
      <c r="C41" s="12" t="n"/>
      <c r="D41" s="8">
        <f>IF(AND(B41="",C41=""),"",MAX(0,5-IFERROR(B41,0)*0.25-IFERROR(C41,0)*0.5))</f>
        <v/>
      </c>
      <c r="E41" s="12" t="n"/>
      <c r="F41" s="12" t="n"/>
      <c r="G41" s="8">
        <f>IF(AND(E41="",F41=""),"",MAX(0,7-IFERROR(E41,0)*0.25-IFERROR(F41,0)*0.5))</f>
        <v/>
      </c>
      <c r="H41" s="12" t="n"/>
      <c r="I41" s="12" t="n"/>
      <c r="J41" s="12" t="n"/>
      <c r="K41" s="12" t="n"/>
      <c r="L41" s="12" t="n"/>
      <c r="M41" s="9">
        <f>IF(COUNTA(A41)=0,"",IFERROR(SUM(D41,G41,H41,I41,J41,K41,L41),""))</f>
        <v/>
      </c>
      <c r="N41" s="13">
        <f>IF(M41="","",IF(M41&gt;=30,"✓ Admis","✗ Refusé"))</f>
        <v/>
      </c>
    </row>
    <row r="42" ht="20" customHeight="1">
      <c r="A42" s="6" t="n"/>
      <c r="B42" s="7" t="n"/>
      <c r="C42" s="7" t="n"/>
      <c r="D42" s="8">
        <f>IF(AND(B42="",C42=""),"",MAX(0,5-IFERROR(B42,0)*0.25-IFERROR(C42,0)*0.5))</f>
        <v/>
      </c>
      <c r="E42" s="7" t="n"/>
      <c r="F42" s="7" t="n"/>
      <c r="G42" s="8">
        <f>IF(AND(E42="",F42=""),"",MAX(0,7-IFERROR(E42,0)*0.25-IFERROR(F42,0)*0.5))</f>
        <v/>
      </c>
      <c r="H42" s="7" t="n"/>
      <c r="I42" s="7" t="n"/>
      <c r="J42" s="7" t="n"/>
      <c r="K42" s="7" t="n"/>
      <c r="L42" s="7" t="n"/>
      <c r="M42" s="9">
        <f>IF(COUNTA(A42)=0,"",IFERROR(SUM(D42,G42,H42,I42,J42,K42,L42),""))</f>
        <v/>
      </c>
      <c r="N42" s="10">
        <f>IF(M42="","",IF(M42&gt;=30,"✓ Admis","✗ Refusé"))</f>
        <v/>
      </c>
    </row>
    <row r="43" ht="20" customHeight="1">
      <c r="A43" s="11" t="n"/>
      <c r="B43" s="12" t="n"/>
      <c r="C43" s="12" t="n"/>
      <c r="D43" s="8">
        <f>IF(AND(B43="",C43=""),"",MAX(0,5-IFERROR(B43,0)*0.25-IFERROR(C43,0)*0.5))</f>
        <v/>
      </c>
      <c r="E43" s="12" t="n"/>
      <c r="F43" s="12" t="n"/>
      <c r="G43" s="8">
        <f>IF(AND(E43="",F43=""),"",MAX(0,7-IFERROR(E43,0)*0.25-IFERROR(F43,0)*0.5))</f>
        <v/>
      </c>
      <c r="H43" s="12" t="n"/>
      <c r="I43" s="12" t="n"/>
      <c r="J43" s="12" t="n"/>
      <c r="K43" s="12" t="n"/>
      <c r="L43" s="12" t="n"/>
      <c r="M43" s="9">
        <f>IF(COUNTA(A43)=0,"",IFERROR(SUM(D43,G43,H43,I43,J43,K43,L43),""))</f>
        <v/>
      </c>
      <c r="N43" s="13">
        <f>IF(M43="","",IF(M43&gt;=30,"✓ Admis","✗ Refusé"))</f>
        <v/>
      </c>
    </row>
    <row r="44" ht="20" customHeight="1">
      <c r="A44" s="6" t="n"/>
      <c r="B44" s="7" t="n"/>
      <c r="C44" s="7" t="n"/>
      <c r="D44" s="8">
        <f>IF(AND(B44="",C44=""),"",MAX(0,5-IFERROR(B44,0)*0.25-IFERROR(C44,0)*0.5))</f>
        <v/>
      </c>
      <c r="E44" s="7" t="n"/>
      <c r="F44" s="7" t="n"/>
      <c r="G44" s="8">
        <f>IF(AND(E44="",F44=""),"",MAX(0,7-IFERROR(E44,0)*0.25-IFERROR(F44,0)*0.5))</f>
        <v/>
      </c>
      <c r="H44" s="7" t="n"/>
      <c r="I44" s="7" t="n"/>
      <c r="J44" s="7" t="n"/>
      <c r="K44" s="7" t="n"/>
      <c r="L44" s="7" t="n"/>
      <c r="M44" s="9">
        <f>IF(COUNTA(A44)=0,"",IFERROR(SUM(D44,G44,H44,I44,J44,K44,L44),""))</f>
        <v/>
      </c>
      <c r="N44" s="10">
        <f>IF(M44="","",IF(M44&gt;=30,"✓ Admis","✗ Refusé"))</f>
        <v/>
      </c>
    </row>
    <row r="45" ht="20" customHeight="1">
      <c r="A45" s="11" t="n"/>
      <c r="B45" s="12" t="n"/>
      <c r="C45" s="12" t="n"/>
      <c r="D45" s="8">
        <f>IF(AND(B45="",C45=""),"",MAX(0,5-IFERROR(B45,0)*0.25-IFERROR(C45,0)*0.5))</f>
        <v/>
      </c>
      <c r="E45" s="12" t="n"/>
      <c r="F45" s="12" t="n"/>
      <c r="G45" s="8">
        <f>IF(AND(E45="",F45=""),"",MAX(0,7-IFERROR(E45,0)*0.25-IFERROR(F45,0)*0.5))</f>
        <v/>
      </c>
      <c r="H45" s="12" t="n"/>
      <c r="I45" s="12" t="n"/>
      <c r="J45" s="12" t="n"/>
      <c r="K45" s="12" t="n"/>
      <c r="L45" s="12" t="n"/>
      <c r="M45" s="9">
        <f>IF(COUNTA(A45)=0,"",IFERROR(SUM(D45,G45,H45,I45,J45,K45,L45),""))</f>
        <v/>
      </c>
      <c r="N45" s="13">
        <f>IF(M45="","",IF(M45&gt;=30,"✓ Admis","✗ Refusé"))</f>
        <v/>
      </c>
    </row>
    <row r="46" ht="20" customHeight="1">
      <c r="A46" s="6" t="n"/>
      <c r="B46" s="7" t="n"/>
      <c r="C46" s="7" t="n"/>
      <c r="D46" s="8">
        <f>IF(AND(B46="",C46=""),"",MAX(0,5-IFERROR(B46,0)*0.25-IFERROR(C46,0)*0.5))</f>
        <v/>
      </c>
      <c r="E46" s="7" t="n"/>
      <c r="F46" s="7" t="n"/>
      <c r="G46" s="8">
        <f>IF(AND(E46="",F46=""),"",MAX(0,7-IFERROR(E46,0)*0.25-IFERROR(F46,0)*0.5))</f>
        <v/>
      </c>
      <c r="H46" s="7" t="n"/>
      <c r="I46" s="7" t="n"/>
      <c r="J46" s="7" t="n"/>
      <c r="K46" s="7" t="n"/>
      <c r="L46" s="7" t="n"/>
      <c r="M46" s="9">
        <f>IF(COUNTA(A46)=0,"",IFERROR(SUM(D46,G46,H46,I46,J46,K46,L46),""))</f>
        <v/>
      </c>
      <c r="N46" s="10">
        <f>IF(M46="","",IF(M46&gt;=30,"✓ Admis","✗ Refusé"))</f>
        <v/>
      </c>
    </row>
    <row r="47" ht="20" customHeight="1">
      <c r="A47" s="11" t="n"/>
      <c r="B47" s="12" t="n"/>
      <c r="C47" s="12" t="n"/>
      <c r="D47" s="8">
        <f>IF(AND(B47="",C47=""),"",MAX(0,5-IFERROR(B47,0)*0.25-IFERROR(C47,0)*0.5))</f>
        <v/>
      </c>
      <c r="E47" s="12" t="n"/>
      <c r="F47" s="12" t="n"/>
      <c r="G47" s="8">
        <f>IF(AND(E47="",F47=""),"",MAX(0,7-IFERROR(E47,0)*0.25-IFERROR(F47,0)*0.5))</f>
        <v/>
      </c>
      <c r="H47" s="12" t="n"/>
      <c r="I47" s="12" t="n"/>
      <c r="J47" s="12" t="n"/>
      <c r="K47" s="12" t="n"/>
      <c r="L47" s="12" t="n"/>
      <c r="M47" s="9">
        <f>IF(COUNTA(A47)=0,"",IFERROR(SUM(D47,G47,H47,I47,J47,K47,L47),""))</f>
        <v/>
      </c>
      <c r="N47" s="13">
        <f>IF(M47="","",IF(M47&gt;=30,"✓ Admis","✗ Refusé"))</f>
        <v/>
      </c>
    </row>
    <row r="48" ht="20" customHeight="1">
      <c r="A48" s="6" t="n"/>
      <c r="B48" s="7" t="n"/>
      <c r="C48" s="7" t="n"/>
      <c r="D48" s="8">
        <f>IF(AND(B48="",C48=""),"",MAX(0,5-IFERROR(B48,0)*0.25-IFERROR(C48,0)*0.5))</f>
        <v/>
      </c>
      <c r="E48" s="7" t="n"/>
      <c r="F48" s="7" t="n"/>
      <c r="G48" s="8">
        <f>IF(AND(E48="",F48=""),"",MAX(0,7-IFERROR(E48,0)*0.25-IFERROR(F48,0)*0.5))</f>
        <v/>
      </c>
      <c r="H48" s="7" t="n"/>
      <c r="I48" s="7" t="n"/>
      <c r="J48" s="7" t="n"/>
      <c r="K48" s="7" t="n"/>
      <c r="L48" s="7" t="n"/>
      <c r="M48" s="9">
        <f>IF(COUNTA(A48)=0,"",IFERROR(SUM(D48,G48,H48,I48,J48,K48,L48),""))</f>
        <v/>
      </c>
      <c r="N48" s="10">
        <f>IF(M48="","",IF(M48&gt;=30,"✓ Admis","✗ Refusé"))</f>
        <v/>
      </c>
    </row>
    <row r="49" ht="20" customHeight="1">
      <c r="A49" s="11" t="n"/>
      <c r="B49" s="12" t="n"/>
      <c r="C49" s="12" t="n"/>
      <c r="D49" s="8">
        <f>IF(AND(B49="",C49=""),"",MAX(0,5-IFERROR(B49,0)*0.25-IFERROR(C49,0)*0.5))</f>
        <v/>
      </c>
      <c r="E49" s="12" t="n"/>
      <c r="F49" s="12" t="n"/>
      <c r="G49" s="8">
        <f>IF(AND(E49="",F49=""),"",MAX(0,7-IFERROR(E49,0)*0.25-IFERROR(F49,0)*0.5))</f>
        <v/>
      </c>
      <c r="H49" s="12" t="n"/>
      <c r="I49" s="12" t="n"/>
      <c r="J49" s="12" t="n"/>
      <c r="K49" s="12" t="n"/>
      <c r="L49" s="12" t="n"/>
      <c r="M49" s="9">
        <f>IF(COUNTA(A49)=0,"",IFERROR(SUM(D49,G49,H49,I49,J49,K49,L49),""))</f>
        <v/>
      </c>
      <c r="N49" s="13">
        <f>IF(M49="","",IF(M49&gt;=30,"✓ Admis","✗ Refusé"))</f>
        <v/>
      </c>
    </row>
    <row r="50" ht="20" customHeight="1">
      <c r="A50" s="6" t="n"/>
      <c r="B50" s="7" t="n"/>
      <c r="C50" s="7" t="n"/>
      <c r="D50" s="8">
        <f>IF(AND(B50="",C50=""),"",MAX(0,5-IFERROR(B50,0)*0.25-IFERROR(C50,0)*0.5))</f>
        <v/>
      </c>
      <c r="E50" s="7" t="n"/>
      <c r="F50" s="7" t="n"/>
      <c r="G50" s="8">
        <f>IF(AND(E50="",F50=""),"",MAX(0,7-IFERROR(E50,0)*0.25-IFERROR(F50,0)*0.5))</f>
        <v/>
      </c>
      <c r="H50" s="7" t="n"/>
      <c r="I50" s="7" t="n"/>
      <c r="J50" s="7" t="n"/>
      <c r="K50" s="7" t="n"/>
      <c r="L50" s="7" t="n"/>
      <c r="M50" s="9">
        <f>IF(COUNTA(A50)=0,"",IFERROR(SUM(D50,G50,H50,I50,J50,K50,L50),""))</f>
        <v/>
      </c>
      <c r="N50" s="10">
        <f>IF(M50="","",IF(M50&gt;=30,"✓ Admis","✗ Refusé"))</f>
        <v/>
      </c>
    </row>
    <row r="51" ht="20" customHeight="1">
      <c r="A51" s="11" t="n"/>
      <c r="B51" s="12" t="n"/>
      <c r="C51" s="12" t="n"/>
      <c r="D51" s="8">
        <f>IF(AND(B51="",C51=""),"",MAX(0,5-IFERROR(B51,0)*0.25-IFERROR(C51,0)*0.5))</f>
        <v/>
      </c>
      <c r="E51" s="12" t="n"/>
      <c r="F51" s="12" t="n"/>
      <c r="G51" s="8">
        <f>IF(AND(E51="",F51=""),"",MAX(0,7-IFERROR(E51,0)*0.25-IFERROR(F51,0)*0.5))</f>
        <v/>
      </c>
      <c r="H51" s="12" t="n"/>
      <c r="I51" s="12" t="n"/>
      <c r="J51" s="12" t="n"/>
      <c r="K51" s="12" t="n"/>
      <c r="L51" s="12" t="n"/>
      <c r="M51" s="9">
        <f>IF(COUNTA(A51)=0,"",IFERROR(SUM(D51,G51,H51,I51,J51,K51,L51),""))</f>
        <v/>
      </c>
      <c r="N51" s="13">
        <f>IF(M51="","",IF(M51&gt;=30,"✓ Admis","✗ Refusé"))</f>
        <v/>
      </c>
    </row>
    <row r="52" ht="20" customHeight="1">
      <c r="A52" s="6" t="n"/>
      <c r="B52" s="7" t="n"/>
      <c r="C52" s="7" t="n"/>
      <c r="D52" s="8">
        <f>IF(AND(B52="",C52=""),"",MAX(0,5-IFERROR(B52,0)*0.25-IFERROR(C52,0)*0.5))</f>
        <v/>
      </c>
      <c r="E52" s="7" t="n"/>
      <c r="F52" s="7" t="n"/>
      <c r="G52" s="8">
        <f>IF(AND(E52="",F52=""),"",MAX(0,7-IFERROR(E52,0)*0.25-IFERROR(F52,0)*0.5))</f>
        <v/>
      </c>
      <c r="H52" s="7" t="n"/>
      <c r="I52" s="7" t="n"/>
      <c r="J52" s="7" t="n"/>
      <c r="K52" s="7" t="n"/>
      <c r="L52" s="7" t="n"/>
      <c r="M52" s="9">
        <f>IF(COUNTA(A52)=0,"",IFERROR(SUM(D52,G52,H52,I52,J52,K52,L52),""))</f>
        <v/>
      </c>
      <c r="N52" s="10">
        <f>IF(M52="","",IF(M52&gt;=30,"✓ Admis","✗ Refusé"))</f>
        <v/>
      </c>
    </row>
    <row r="53" ht="20" customHeight="1">
      <c r="A53" s="11" t="n"/>
      <c r="B53" s="12" t="n"/>
      <c r="C53" s="12" t="n"/>
      <c r="D53" s="8">
        <f>IF(AND(B53="",C53=""),"",MAX(0,5-IFERROR(B53,0)*0.25-IFERROR(C53,0)*0.5))</f>
        <v/>
      </c>
      <c r="E53" s="12" t="n"/>
      <c r="F53" s="12" t="n"/>
      <c r="G53" s="8">
        <f>IF(AND(E53="",F53=""),"",MAX(0,7-IFERROR(E53,0)*0.25-IFERROR(F53,0)*0.5))</f>
        <v/>
      </c>
      <c r="H53" s="12" t="n"/>
      <c r="I53" s="12" t="n"/>
      <c r="J53" s="12" t="n"/>
      <c r="K53" s="12" t="n"/>
      <c r="L53" s="12" t="n"/>
      <c r="M53" s="9">
        <f>IF(COUNTA(A53)=0,"",IFERROR(SUM(D53,G53,H53,I53,J53,K53,L53),""))</f>
        <v/>
      </c>
      <c r="N53" s="13">
        <f>IF(M53="","",IF(M53&gt;=30,"✓ Admis","✗ Refusé"))</f>
        <v/>
      </c>
    </row>
    <row r="54" ht="20" customHeight="1">
      <c r="A54" s="6" t="n"/>
      <c r="B54" s="7" t="n"/>
      <c r="C54" s="7" t="n"/>
      <c r="D54" s="8">
        <f>IF(AND(B54="",C54=""),"",MAX(0,5-IFERROR(B54,0)*0.25-IFERROR(C54,0)*0.5))</f>
        <v/>
      </c>
      <c r="E54" s="7" t="n"/>
      <c r="F54" s="7" t="n"/>
      <c r="G54" s="8">
        <f>IF(AND(E54="",F54=""),"",MAX(0,7-IFERROR(E54,0)*0.25-IFERROR(F54,0)*0.5))</f>
        <v/>
      </c>
      <c r="H54" s="7" t="n"/>
      <c r="I54" s="7" t="n"/>
      <c r="J54" s="7" t="n"/>
      <c r="K54" s="7" t="n"/>
      <c r="L54" s="7" t="n"/>
      <c r="M54" s="9">
        <f>IF(COUNTA(A54)=0,"",IFERROR(SUM(D54,G54,H54,I54,J54,K54,L54),""))</f>
        <v/>
      </c>
      <c r="N54" s="10">
        <f>IF(M54="","",IF(M54&gt;=30,"✓ Admis","✗ Refusé"))</f>
        <v/>
      </c>
    </row>
    <row r="55" ht="20" customHeight="1">
      <c r="A55" s="11" t="n"/>
      <c r="B55" s="12" t="n"/>
      <c r="C55" s="12" t="n"/>
      <c r="D55" s="8">
        <f>IF(AND(B55="",C55=""),"",MAX(0,5-IFERROR(B55,0)*0.25-IFERROR(C55,0)*0.5))</f>
        <v/>
      </c>
      <c r="E55" s="12" t="n"/>
      <c r="F55" s="12" t="n"/>
      <c r="G55" s="8">
        <f>IF(AND(E55="",F55=""),"",MAX(0,7-IFERROR(E55,0)*0.25-IFERROR(F55,0)*0.5))</f>
        <v/>
      </c>
      <c r="H55" s="12" t="n"/>
      <c r="I55" s="12" t="n"/>
      <c r="J55" s="12" t="n"/>
      <c r="K55" s="12" t="n"/>
      <c r="L55" s="12" t="n"/>
      <c r="M55" s="9">
        <f>IF(COUNTA(A55)=0,"",IFERROR(SUM(D55,G55,H55,I55,J55,K55,L55),""))</f>
        <v/>
      </c>
      <c r="N55" s="13">
        <f>IF(M55="","",IF(M55&gt;=30,"✓ Admis","✗ Refusé"))</f>
        <v/>
      </c>
    </row>
  </sheetData>
  <mergeCells count="12">
    <mergeCell ref="M4:M5"/>
    <mergeCell ref="A4:A5"/>
    <mergeCell ref="A2:N2"/>
    <mergeCell ref="B4:D4"/>
    <mergeCell ref="H4:H5"/>
    <mergeCell ref="I4:I5"/>
    <mergeCell ref="J4:J5"/>
    <mergeCell ref="K4:K5"/>
    <mergeCell ref="L4:L5"/>
    <mergeCell ref="E4:G4"/>
    <mergeCell ref="N4:N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2026-04-06T12:39:01Z</dcterms:created>
  <dcterms:modified xsi:type="dcterms:W3CDTF">2026-04-06T12:39:02Z</dcterms:modified>
</cp:coreProperties>
</file>